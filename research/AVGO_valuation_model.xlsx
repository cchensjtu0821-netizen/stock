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cenarios" sheetId="2" r:id="rId2"/>
    <sheet name="DCF" sheetId="3" r:id="rId3"/>
    <sheet name="Sources" sheetId="4" r:id="rId4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38" customWidth="1"/>
    <col min="2" max="11" width="22" customWidth="1"/>
  </cols>
  <sheetData>
    <row r="1">
      <c r="A1" t="inlineStr" s="1">
        <is>
          <t>参数</t>
        </is>
      </c>
      <c r="B1" t="inlineStr" s="1">
        <is>
          <t>数值</t>
        </is>
      </c>
      <c r="C1" t="inlineStr" s="1">
        <is>
          <t>单位 / 属性</t>
        </is>
      </c>
      <c r="D1" t="inlineStr" s="1">
        <is>
          <t>来源 / 说明</t>
        </is>
      </c>
    </row>
    <row r="2">
      <c r="A2" t="inlineStr" s="0">
        <is>
          <t>股价</t>
        </is>
      </c>
      <c r="B2" s="2">
        <v>368.56</v>
      </c>
      <c r="C2" t="inlineStr" s="0">
        <is>
          <t>USD；2026-09-08 regular close</t>
        </is>
      </c>
      <c r="D2" t="inlineStr" s="0">
        <is>
          <t>S1</t>
        </is>
      </c>
    </row>
    <row r="3">
      <c r="A3" t="inlineStr" s="0">
        <is>
          <t>当前股数</t>
        </is>
      </c>
      <c r="B3" s="2">
        <v>4.76</v>
      </c>
      <c r="C3" t="inlineStr" s="0">
        <is>
          <t>十亿股；近似数</t>
        </is>
      </c>
      <c r="D3" t="inlineStr" s="0">
        <is>
          <t>S2</t>
        </is>
      </c>
    </row>
    <row r="4">
      <c r="A4" t="inlineStr" s="0">
        <is>
          <t>Q3 报告自由现金流</t>
        </is>
      </c>
      <c r="B4" s="2">
        <v>13.665</v>
      </c>
      <c r="C4" t="inlineStr" s="0">
        <is>
          <t>十亿美元；事实</t>
        </is>
      </c>
      <c r="D4" t="inlineStr" s="0">
        <is>
          <t>S3</t>
        </is>
      </c>
    </row>
    <row r="5">
      <c r="A5" t="inlineStr" s="0">
        <is>
          <t>Q3 股权薪酬</t>
        </is>
      </c>
      <c r="B5" s="2">
        <v>2.019</v>
      </c>
      <c r="C5" t="inlineStr" s="0">
        <is>
          <t>十亿美元；事实</t>
        </is>
      </c>
      <c r="D5" t="inlineStr" s="0">
        <is>
          <t>S3</t>
        </is>
      </c>
    </row>
    <row r="6">
      <c r="A6" t="inlineStr" s="0">
        <is>
          <t>要求回报率</t>
        </is>
      </c>
      <c r="B6" s="2">
        <v>0.12</v>
      </c>
      <c r="C6" t="inlineStr" s="0">
        <is>
          <t>独立模型假设</t>
        </is>
      </c>
      <c r="D6" t="inlineStr" s="0">
        <is>
          <t>分析选择</t>
        </is>
      </c>
    </row>
    <row r="7">
      <c r="A7" t="inlineStr" s="0">
        <is>
          <t>永续增长率</t>
        </is>
      </c>
      <c r="B7" s="2">
        <v>0.04</v>
      </c>
      <c r="C7" t="inlineStr" s="0">
        <is>
          <t>独立模型假设</t>
        </is>
      </c>
      <c r="D7" t="inlineStr" s="0">
        <is>
          <t>分析选择</t>
        </is>
      </c>
    </row>
    <row r="8">
      <c r="A8" t="inlineStr" s="0">
        <is>
          <t>TTM 报告 FCF</t>
        </is>
      </c>
      <c r="B8" s="2">
        <v>39.403</v>
      </c>
      <c r="C8" t="inlineStr" s="0">
        <is>
          <t>十亿美元；四季度相加</t>
        </is>
      </c>
      <c r="D8" t="inlineStr" s="0">
        <is>
          <t>S4</t>
        </is>
      </c>
    </row>
    <row r="9">
      <c r="A9" t="inlineStr" s="0">
        <is>
          <t>FY2026 调整后 EPS</t>
        </is>
      </c>
      <c r="B9" s="2">
        <v>11.64</v>
      </c>
      <c r="C9" t="inlineStr" s="0">
        <is>
          <t>USD；共识截至 2026-09-07</t>
        </is>
      </c>
      <c r="D9" t="inlineStr" s="0">
        <is>
          <t>S5</t>
        </is>
      </c>
    </row>
    <row r="10">
      <c r="A10" t="inlineStr" s="0">
        <is>
          <t>Q3 调整后 EPS</t>
        </is>
      </c>
      <c r="B10" s="2">
        <v>3.32</v>
      </c>
      <c r="C10" t="inlineStr" s="0">
        <is>
          <t>USD；事实</t>
        </is>
      </c>
      <c r="D10" t="inlineStr" s="0">
        <is>
          <t>S3</t>
        </is>
      </c>
    </row>
    <row r="11">
      <c r="A11" t="inlineStr" s="0">
        <is>
          <t>市值</t>
        </is>
      </c>
      <c r="B11" s="2">
        <f>B2*B3</f>
        <v>1754.3455999999999</v>
      </c>
      <c r="C11" t="inlineStr" s="0">
        <is>
          <t>十亿美元</t>
        </is>
      </c>
      <c r="D11" t="inlineStr" s="0">
        <is>
          <t>计算</t>
        </is>
      </c>
    </row>
    <row r="12">
      <c r="A12" t="inlineStr" s="0">
        <is>
          <t>TTM FCF 倍数</t>
        </is>
      </c>
      <c r="B12" s="2">
        <f>B11/B8</f>
        <v>44.52314798365607</v>
      </c>
      <c r="C12" t="inlineStr" s="0">
        <is>
          <t>倍</t>
        </is>
      </c>
      <c r="D12" t="inlineStr" s="0">
        <is>
          <t>计算</t>
        </is>
      </c>
    </row>
    <row r="13">
      <c r="A13" t="inlineStr" s="0">
        <is>
          <t>TTM FCF 收益率</t>
        </is>
      </c>
      <c r="B13" s="2">
        <f>B8/B11</f>
        <v>0.02246022676489741</v>
      </c>
      <c r="C13" t="inlineStr" s="0">
        <is>
          <t>比率</t>
        </is>
      </c>
      <c r="D13" t="inlineStr" s="0">
        <is>
          <t>计算</t>
        </is>
      </c>
    </row>
    <row r="14">
      <c r="A14" t="inlineStr" s="0">
        <is>
          <t>FY2026 调整后 PE</t>
        </is>
      </c>
      <c r="B14" s="2">
        <f>B2/B9</f>
        <v>31.663230240549826</v>
      </c>
      <c r="C14" t="inlineStr" s="0">
        <is>
          <t>倍</t>
        </is>
      </c>
      <c r="D14" t="inlineStr" s="0">
        <is>
          <t>计算</t>
        </is>
      </c>
    </row>
    <row r="15">
      <c r="A15" t="inlineStr" s="0">
        <is>
          <t>Q3 EPS 年化 PE</t>
        </is>
      </c>
      <c r="B15" s="2">
        <f>B2/(B10*4)</f>
        <v>27.753012048192772</v>
      </c>
      <c r="C15" t="inlineStr" s="0">
        <is>
          <t>倍；不是年度预测</t>
        </is>
      </c>
      <c r="D15" t="inlineStr" s="0">
        <is>
          <t>计算</t>
        </is>
      </c>
    </row>
    <row r="16">
      <c r="A16" t="inlineStr" s="0">
        <is>
          <t>DCF 起始每股经济现金流代理</t>
        </is>
      </c>
      <c r="B16" s="2">
        <f>(B4-B5)*4/B3</f>
        <v>9.786554621848738</v>
      </c>
      <c r="C16" t="inlineStr" s="0">
        <is>
          <t>USD；季度年化并扣股权薪酬</t>
        </is>
      </c>
      <c r="D16" t="inlineStr" s="0">
        <is>
          <t>单季年化及固定股数均为限制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38" customWidth="1"/>
    <col min="2" max="11" width="22" customWidth="1"/>
  </cols>
  <sheetData>
    <row r="1">
      <c r="A1" t="inlineStr" s="1">
        <is>
          <t>情景</t>
        </is>
      </c>
      <c r="B1" t="inlineStr" s="1">
        <is>
          <t>AI收入</t>
        </is>
      </c>
      <c r="C1" t="inlineStr" s="1">
        <is>
          <t>其他收入</t>
        </is>
      </c>
      <c r="D1" t="inlineStr" s="1">
        <is>
          <t>合计收入</t>
        </is>
      </c>
      <c r="E1" t="inlineStr" s="1">
        <is>
          <t>调整后净利率</t>
        </is>
      </c>
      <c r="F1" t="inlineStr" s="1">
        <is>
          <t>稀释股数</t>
        </is>
      </c>
      <c r="G1" t="inlineStr" s="1">
        <is>
          <t>EPS</t>
        </is>
      </c>
      <c r="H1" t="inlineStr" s="1">
        <is>
          <t>期末PE</t>
        </is>
      </c>
      <c r="I1" t="inlineStr" s="1">
        <is>
          <t>一年后价格</t>
        </is>
      </c>
      <c r="J1" t="inlineStr" s="1">
        <is>
          <t>不含股息回报</t>
        </is>
      </c>
      <c r="K1" t="inlineStr" s="1">
        <is>
          <t>折现现值</t>
        </is>
      </c>
    </row>
    <row r="2">
      <c r="A2" t="inlineStr" s="0">
        <is>
          <t>悲观</t>
        </is>
      </c>
      <c r="B2" s="2">
        <v>65</v>
      </c>
      <c r="C2" s="2">
        <v>50</v>
      </c>
      <c r="D2" s="2">
        <f>B2+C2</f>
        <v>115</v>
      </c>
      <c r="E2" s="2">
        <v>0.48</v>
      </c>
      <c r="F2" s="2">
        <v>5</v>
      </c>
      <c r="G2" s="2">
        <f>D2*E2/F2</f>
        <v>11.04</v>
      </c>
      <c r="H2" s="2">
        <v>22</v>
      </c>
      <c r="I2" s="2">
        <f>G2*H2</f>
        <v>242.88</v>
      </c>
      <c r="J2" s="2">
        <f>I2/Inputs!B2-1</f>
        <v>-0.34100282179292385</v>
      </c>
      <c r="K2" s="2">
        <f>I2/(1+Inputs!B6)</f>
        <v>216.85714285714283</v>
      </c>
    </row>
    <row r="3">
      <c r="A3" t="inlineStr" s="0">
        <is>
          <t>基准</t>
        </is>
      </c>
      <c r="B3" s="2">
        <v>90</v>
      </c>
      <c r="C3" s="2">
        <v>54</v>
      </c>
      <c r="D3" s="2">
        <f>B3+C3</f>
        <v>144</v>
      </c>
      <c r="E3" s="2">
        <v>0.55</v>
      </c>
      <c r="F3" s="2">
        <v>5</v>
      </c>
      <c r="G3" s="2">
        <f>D3*E3/F3</f>
        <v>15.84</v>
      </c>
      <c r="H3" s="2">
        <v>30</v>
      </c>
      <c r="I3" s="2">
        <f>G3*H3</f>
        <v>475.2</v>
      </c>
      <c r="J3" s="2">
        <f>I3/Inputs!B2-1</f>
        <v>0.2893423051877577</v>
      </c>
      <c r="K3" s="2">
        <f>I3/(1+Inputs!B6)</f>
        <v>424.2857142857142</v>
      </c>
    </row>
    <row r="4">
      <c r="A4" t="inlineStr" s="0">
        <is>
          <t>乐观</t>
        </is>
      </c>
      <c r="B4" s="2">
        <v>115</v>
      </c>
      <c r="C4" s="2">
        <v>57</v>
      </c>
      <c r="D4" s="2">
        <f>B4+C4</f>
        <v>172</v>
      </c>
      <c r="E4" s="2">
        <v>0.58</v>
      </c>
      <c r="F4" s="2">
        <v>5</v>
      </c>
      <c r="G4" s="2">
        <f>D4*E4/F4</f>
        <v>19.951999999999998</v>
      </c>
      <c r="H4" s="2">
        <v>34</v>
      </c>
      <c r="I4" s="2">
        <f>G4*H4</f>
        <v>678.3679999999999</v>
      </c>
      <c r="J4" s="2">
        <f>I4/Inputs!B2-1</f>
        <v>0.8405904059040588</v>
      </c>
      <c r="K4" s="2">
        <f>I4/(1+Inputs!B6)</f>
        <v>605.6857142857142</v>
      </c>
    </row>
    <row r="5">
      <c r="A5" t="inlineStr" s="0">
        <is>
          <t>金额为十亿美元，股数为十亿股，EPS和股价为美元。</t>
        </is>
      </c>
    </row>
    <row r="6">
      <c r="A6" t="inlineStr" s="0">
        <is>
          <t>所有情景输入均为独立假设；乐观AI收入对齐管理层展望，非保证。</t>
        </is>
      </c>
    </row>
    <row r="7">
      <c r="A7" t="inlineStr" s="0">
        <is>
          <t>估值时点约为一年后；无情景概率；不得将目标价当成今天现值。</t>
        </is>
      </c>
    </row>
    <row r="8">
      <c r="A8" t="inlineStr" s="0">
        <is>
          <t>基准现值折价</t>
        </is>
      </c>
      <c r="B8" s="2">
        <f>1-Inputs!B2/K3</f>
        <v>0.1313400673400672</v>
      </c>
    </row>
    <row r="9">
      <c r="A9" t="inlineStr" s="0">
        <is>
          <t>30倍PE下要求EPS</t>
        </is>
      </c>
      <c r="B9" s="2">
        <f>Inputs!B2*(1+Inputs!B6)/30</f>
        <v>13.759573333333334</v>
      </c>
    </row>
    <row r="10">
      <c r="A10" t="inlineStr" s="0">
        <is>
          <t>30倍PE下要求AI收入</t>
        </is>
      </c>
      <c r="B10" s="2">
        <f>B9*5/0.55-54</f>
        <v>71.08703030303029</v>
      </c>
    </row>
    <row r="11">
      <c r="A11" t="inlineStr" s="0">
        <is>
          <t>25倍PE下要求AI收入</t>
        </is>
      </c>
      <c r="B11" s="2">
        <f>Inputs!B2*(1+Inputs!B6)/25*5/0.55-54</f>
        <v>96.10443636363635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38" customWidth="1"/>
    <col min="2" max="11" width="22" customWidth="1"/>
  </cols>
  <sheetData>
    <row r="1">
      <c r="A1" t="inlineStr" s="1">
        <is>
          <t>五年年增长率</t>
        </is>
      </c>
      <c r="B1" t="inlineStr" s="1">
        <is>
          <t>第1年现金流</t>
        </is>
      </c>
      <c r="C1" t="inlineStr" s="1">
        <is>
          <t>第2年现金流</t>
        </is>
      </c>
      <c r="D1" t="inlineStr" s="1">
        <is>
          <t>第3年现金流</t>
        </is>
      </c>
      <c r="E1" t="inlineStr" s="1">
        <is>
          <t>第4年现金流</t>
        </is>
      </c>
      <c r="F1" t="inlineStr" s="1">
        <is>
          <t>第5年现金流</t>
        </is>
      </c>
      <c r="G1" t="inlineStr" s="1">
        <is>
          <t>显式现金流现值</t>
        </is>
      </c>
      <c r="H1" t="inlineStr" s="1">
        <is>
          <t>第五年终值</t>
        </is>
      </c>
      <c r="I1" t="inlineStr" s="1">
        <is>
          <t>终值现值</t>
        </is>
      </c>
      <c r="J1" t="inlineStr" s="1">
        <is>
          <t>总现值</t>
        </is>
      </c>
      <c r="K1" t="inlineStr" s="1">
        <is>
          <t>终值占比</t>
        </is>
      </c>
    </row>
    <row r="2">
      <c r="A2" s="2">
        <v>0.2</v>
      </c>
      <c r="B2" s="2">
        <f>Inputs!B16*(1+A2)^1</f>
        <v>11.743865546218485</v>
      </c>
      <c r="C2" s="2">
        <f>Inputs!B16*(1+A2)^2</f>
        <v>14.092638655462183</v>
      </c>
      <c r="D2" s="2">
        <f>Inputs!B16*(1+A2)^3</f>
        <v>16.91116638655462</v>
      </c>
      <c r="E2" s="2">
        <f>Inputs!B16*(1+A2)^4</f>
        <v>20.293399663865543</v>
      </c>
      <c r="F2" s="2">
        <f>Inputs!B16*(1+A2)^5</f>
        <v>24.352079596638646</v>
      </c>
      <c r="G2" s="2">
        <f>B2/(1+Inputs!B6)^1+C2/(1+Inputs!B6)^2+D2/(1+Inputs!B6)^3+E2/(1+Inputs!B6)^4+F2/(1+Inputs!B6)^5</f>
        <v>60.47204000821484</v>
      </c>
      <c r="H2" s="2">
        <f>F2*(1+Inputs!B7)/(Inputs!B6-Inputs!B7)</f>
        <v>316.57703475630245</v>
      </c>
      <c r="I2" s="2">
        <f>H2/(1+Inputs!B6)^5</f>
        <v>179.63431142448638</v>
      </c>
      <c r="J2" s="2">
        <f>G2+I2</f>
        <v>240.10635143270122</v>
      </c>
      <c r="K2" s="2">
        <f>I2/J2</f>
        <v>0.7481447714840463</v>
      </c>
    </row>
    <row r="3">
      <c r="A3" s="2">
        <v>0.3</v>
      </c>
      <c r="B3" s="2">
        <f>Inputs!B16*(1+A3)^1</f>
        <v>12.72252100840336</v>
      </c>
      <c r="C3" s="2">
        <f>Inputs!B16*(1+A3)^2</f>
        <v>16.53927731092437</v>
      </c>
      <c r="D3" s="2">
        <f>Inputs!B16*(1+A3)^3</f>
        <v>21.50106050420168</v>
      </c>
      <c r="E3" s="2">
        <f>Inputs!B16*(1+A3)^4</f>
        <v>27.951378655462186</v>
      </c>
      <c r="F3" s="2">
        <f>Inputs!B16*(1+A3)^5</f>
        <v>36.33679225210084</v>
      </c>
      <c r="G3" s="2">
        <f>B3/(1+Inputs!B6)^1+C3/(1+Inputs!B6)^2+D3/(1+Inputs!B6)^3+E3/(1+Inputs!B6)^4+F3/(1+Inputs!B6)^5</f>
        <v>78.2305127692169</v>
      </c>
      <c r="H3" s="2">
        <f>F3*(1+Inputs!B7)/(Inputs!B6-Inputs!B7)</f>
        <v>472.37829927731104</v>
      </c>
      <c r="I3" s="2">
        <f>H3/(1+Inputs!B6)^5</f>
        <v>268.040133068624</v>
      </c>
      <c r="J3" s="2">
        <f>G3+I3</f>
        <v>346.2706458378409</v>
      </c>
      <c r="K3" s="2">
        <f>I3/J3</f>
        <v>0.774076972132797</v>
      </c>
    </row>
    <row r="4">
      <c r="A4" s="2">
        <v>0.4</v>
      </c>
      <c r="B4" s="2">
        <f>Inputs!B16*(1+A4)^1</f>
        <v>13.701176470588234</v>
      </c>
      <c r="C4" s="2">
        <f>Inputs!B16*(1+A4)^2</f>
        <v>19.181647058823525</v>
      </c>
      <c r="D4" s="2">
        <f>Inputs!B16*(1+A4)^3</f>
        <v>26.854305882352932</v>
      </c>
      <c r="E4" s="2">
        <f>Inputs!B16*(1+A4)^4</f>
        <v>37.596028235294106</v>
      </c>
      <c r="F4" s="2">
        <f>Inputs!B16*(1+A4)^5</f>
        <v>52.63443952941174</v>
      </c>
      <c r="G4" s="2">
        <f>B4/(1+Inputs!B6)^1+C4/(1+Inputs!B6)^2+D4/(1+Inputs!B6)^3+E4/(1+Inputs!B6)^4+F4/(1+Inputs!B6)^5</f>
        <v>100.39819951418062</v>
      </c>
      <c r="H4" s="2">
        <f>F4*(1+Inputs!B7)/(Inputs!B6-Inputs!B7)</f>
        <v>684.2477138823527</v>
      </c>
      <c r="I4" s="2">
        <f>H4/(1+Inputs!B6)^5</f>
        <v>388.26052882090306</v>
      </c>
      <c r="J4" s="2">
        <f>G4+I4</f>
        <v>488.65872833508365</v>
      </c>
      <c r="K4" s="2">
        <f>I4/J4</f>
        <v>0.7945433209466067</v>
      </c>
    </row>
    <row r="5">
      <c r="A5" t="inlineStr" s="0">
        <is>
          <t>这是简化股权DCF；起始值是单季度经济调整后年化代理，不是已实现年度所有者收益。</t>
        </is>
      </c>
    </row>
    <row r="6">
      <c r="A6" t="inlineStr" s="0">
        <is>
          <t>固定股数；现金流含利息；不重复扣净债务；未计额外担保损失或超额现金分配。</t>
        </is>
      </c>
    </row>
    <row r="7">
      <c r="A7" t="inlineStr" s="0">
        <is>
          <t>年增长率、折现率和永续增长率均为独立模型假设。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38" customWidth="1"/>
    <col min="2" max="11" width="22" customWidth="1"/>
  </cols>
  <sheetData>
    <row r="1">
      <c r="A1" t="inlineStr" s="1">
        <is>
          <t>编号</t>
        </is>
      </c>
      <c r="B1" t="inlineStr" s="1">
        <is>
          <t>出版者与资料</t>
        </is>
      </c>
      <c r="C1" t="inlineStr" s="1">
        <is>
          <t>日期</t>
        </is>
      </c>
      <c r="D1" t="inlineStr" s="1">
        <is>
          <t>链接</t>
        </is>
      </c>
      <c r="E1" t="inlineStr" s="1">
        <is>
          <t>用途</t>
        </is>
      </c>
    </row>
    <row r="2">
      <c r="A2" t="inlineStr" s="0">
        <is>
          <t>S1</t>
        </is>
      </c>
      <c r="B2" t="inlineStr" s="0">
        <is>
          <t>Stock Analysis historical prices</t>
        </is>
      </c>
      <c r="C2" t="inlineStr" s="0">
        <is>
          <t>2026-09-08</t>
        </is>
      </c>
      <c r="D2" t="inlineStr" s="0">
        <is>
          <t>https://stockanalysis.com/stocks/avgo/history/</t>
        </is>
      </c>
      <c r="E2" t="inlineStr" s="0">
        <is>
          <t>报价</t>
        </is>
      </c>
    </row>
    <row r="3">
      <c r="A3" t="inlineStr" s="0">
        <is>
          <t>S2</t>
        </is>
      </c>
      <c r="B3" t="inlineStr" s="0">
        <is>
          <t>Stock Analysis overview</t>
        </is>
      </c>
      <c r="C3" t="inlineStr" s="0">
        <is>
          <t>2026-09-09 accessed</t>
        </is>
      </c>
      <c r="D3" t="inlineStr" s="0">
        <is>
          <t>https://stockanalysis.com/stocks/avgo/</t>
        </is>
      </c>
      <c r="E3" t="inlineStr" s="0">
        <is>
          <t>股数与市值</t>
        </is>
      </c>
    </row>
    <row r="4">
      <c r="A4" t="inlineStr" s="0">
        <is>
          <t>S3</t>
        </is>
      </c>
      <c r="B4" t="inlineStr" s="0">
        <is>
          <t>Broadcom SEC Q3 exhibit 99.1</t>
        </is>
      </c>
      <c r="C4" t="inlineStr" s="0">
        <is>
          <t>2026-09-02</t>
        </is>
      </c>
      <c r="D4" t="inlineStr" s="0">
        <is>
          <t>https://www.sec.gov/Archives/edgar/data/1730168/000173016826000076/avgo-08022026x8kxex99.htm</t>
        </is>
      </c>
      <c r="E4" t="inlineStr" s="0">
        <is>
          <t>季度数据</t>
        </is>
      </c>
    </row>
    <row r="5">
      <c r="A5" t="inlineStr" s="0">
        <is>
          <t>S4</t>
        </is>
      </c>
      <c r="B5" t="inlineStr" s="0">
        <is>
          <t>Stock Analysis quarterly cash flows</t>
        </is>
      </c>
      <c r="C5" t="inlineStr" s="0">
        <is>
          <t>2026-09-09 accessed</t>
        </is>
      </c>
      <c r="D5" t="inlineStr" s="0">
        <is>
          <t>https://stockanalysis.com/stocks/avgo/financials/cash-flow-statement/?p=quarterly</t>
        </is>
      </c>
      <c r="E5" t="inlineStr" s="0">
        <is>
          <t>TTM FCF</t>
        </is>
      </c>
    </row>
    <row r="6">
      <c r="A6" t="inlineStr" s="0">
        <is>
          <t>S5</t>
        </is>
      </c>
      <c r="B6" t="inlineStr" s="0">
        <is>
          <t>Stock Analysis forecast</t>
        </is>
      </c>
      <c r="C6" t="inlineStr" s="0">
        <is>
          <t>2026-09-07 updated</t>
        </is>
      </c>
      <c r="D6" t="inlineStr" s="0">
        <is>
          <t>https://stockanalysis.com/stocks/avgo/forecast/</t>
        </is>
      </c>
      <c r="E6" t="inlineStr" s="0">
        <is>
          <t>FY2026 EPS consensus</t>
        </is>
      </c>
    </row>
    <row r="7">
      <c r="A7" t="inlineStr" s="0">
        <is>
          <t>S6</t>
        </is>
      </c>
      <c r="B7" t="inlineStr" s="0">
        <is>
          <t>Benzinga Q3 call transcript</t>
        </is>
      </c>
      <c r="C7" t="inlineStr" s="0">
        <is>
          <t>2026-09-02 call</t>
        </is>
      </c>
      <c r="D7" t="inlineStr" s="0">
        <is>
          <t>https://www.benzinga.com/news/26/09/61592658/broadcom-q3-2026-earnings-call-transcript</t>
        </is>
      </c>
      <c r="E7" t="inlineStr" s="0">
        <is>
          <t>管理层AI展望</t>
        </is>
      </c>
    </row>
    <row r="8">
      <c r="A8" t="inlineStr" s="0">
        <is>
          <t>说明</t>
        </is>
      </c>
      <c r="B8" t="inlineStr" s="0">
        <is>
          <t>完整研究与风险来源见同目录报告</t>
        </is>
      </c>
      <c r="C8" t="inlineStr" s="0">
        <is>
          <t/>
        </is>
      </c>
      <c r="D8" t="inlineStr" s="0">
        <is>
          <t/>
        </is>
      </c>
      <c r="E8" t="inlineStr" s="0">
        <is>
          <t>数字模型假设不是公司指引或独立市场共识</t>
        </is>
      </c>
    </row>
  </sheetData>
</worksheet>
</file>